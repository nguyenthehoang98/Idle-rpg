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kill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<sst xmlns="http://schemas.openxmlformats.org/spreadsheetml/2006/main" count="24" uniqueCount="19">
  <si>
    <t xml:space="preserve">skillId</t>
  </si>
  <si>
    <t xml:space="preserve">skillName</t>
  </si>
  <si>
    <t xml:space="preserve">lifeTime</t>
  </si>
  <si>
    <t xml:space="preserve">castTime</t>
  </si>
  <si>
    <t xml:space="preserve">baseFlatDamage</t>
  </si>
  <si>
    <t xml:space="preserve">flatDamageBonusLevel</t>
  </si>
  <si>
    <t xml:space="preserve">baseScaleDamage</t>
  </si>
  <si>
    <t xml:space="preserve">scaleDamageBonusLevel</t>
  </si>
  <si>
    <t xml:space="preserve">type</t>
  </si>
  <si>
    <t xml:space="preserve">maxFindTargetRange</t>
  </si>
  <si>
    <t xml:space="preserve">needTargetToCast</t>
  </si>
  <si>
    <t xml:space="preserve">maxHitCount</t>
  </si>
  <si>
    <t xml:space="preserve">collisionResetInterval</t>
  </si>
  <si>
    <t xml:space="preserve">projectileId</t>
  </si>
  <si>
    <t xml:space="preserve">colliderId</t>
  </si>
  <si>
    <t xml:space="preserve">trajectoryId</t>
  </si>
  <si>
    <t xml:space="preserve">behaviorsId</t>
  </si>
  <si>
    <t xml:space="preserve">modifiersId</t>
  </si>
  <si>
    <t xml:space="preserve">Nearest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</si>
</sst>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10.57"/>
    <col collapsed="false" customWidth="true" hidden="false" outlineLevel="0" max="5" min="5" style="1" width="15.34"/>
    <col collapsed="false" customWidth="true" hidden="false" outlineLevel="0" max="6" min="6" style="1" width="20.63"/>
    <col collapsed="false" customWidth="true" hidden="false" outlineLevel="0" max="7" min="7" style="1" width="16.46"/>
    <col collapsed="false" customWidth="true" hidden="false" outlineLevel="0" max="8" min="8" style="1" width="21.88"/>
    <col collapsed="false" customWidth="true" hidden="false" outlineLevel="0" max="10" min="10" style="1" width="19.1"/>
    <col collapsed="false" customWidth="true" hidden="false" outlineLevel="0" max="11" min="11" style="1" width="16.74"/>
    <col collapsed="false" customWidth="true" hidden="false" outlineLevel="0" max="12" min="12" style="1" width="12.56"/>
    <col collapsed="false" customWidth="true" hidden="false" outlineLevel="0" max="13" min="13" style="1" width="19.24"/>
    <col collapsed="false" customWidth="true" hidden="false" outlineLevel="0" max="14" min="14" style="1" width="21.32"/>
    <col collapsed="false" customWidth="true" hidden="false" outlineLevel="0" max="15" min="15" style="1" width="17.01"/>
    <col collapsed="false" customWidth="true" hidden="false" outlineLevel="0" max="16" min="16" style="1" width="17.99"/>
    <col collapsed="false" customWidth="true" hidden="false" outlineLevel="0" max="17" min="17" style="1" width="16.58"/>
    <col collapsed="false" customWidth="true" hidden="false" outlineLevel="0" max="19" min="19" style="1" width="16.58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customFormat="false" ht="13.8" hidden="false" customHeight="false" outlineLevel="0" collapsed="false">
      <c r="A2" s="1" t="n">
        <v>1001</v>
      </c>
      <c r="C2" s="1" t="n">
        <v>0.5</v>
      </c>
      <c r="D2" s="1" t="n">
        <v>0</v>
      </c>
      <c r="E2" s="1" t="n">
        <v>0</v>
      </c>
      <c r="F2" s="1" t="n">
        <v>0</v>
      </c>
      <c r="G2" s="1" t="n">
        <v>1</v>
      </c>
      <c r="H2" s="1" t="n">
        <v>0</v>
      </c>
      <c r="I2" s="1" t="s">
        <v>18</v>
      </c>
      <c r="J2" s="1" t="n">
        <v>10</v>
      </c>
      <c r="K2" s="1" t="n">
        <v>1</v>
      </c>
      <c r="L2" s="1" t="n">
        <v>1</v>
      </c>
      <c r="M2" s="1" t="n">
        <v>999</v>
      </c>
    </row>
    <row r="3" customFormat="false" ht="13.8" hidden="false" customHeight="false" outlineLevel="0" collapsed="false">
      <c r="A3" s="1" t="n">
        <v>1002</v>
      </c>
      <c r="C3" s="1" t="n">
        <v>0.5</v>
      </c>
      <c r="D3" s="1" t="n">
        <v>0.2</v>
      </c>
      <c r="E3" s="1" t="n">
        <v>0</v>
      </c>
      <c r="F3" s="1" t="n">
        <v>0</v>
      </c>
      <c r="G3" s="1" t="n">
        <v>1</v>
      </c>
      <c r="H3" s="1" t="n">
        <v>0</v>
      </c>
      <c r="I3" s="1" t="s">
        <v>18</v>
      </c>
      <c r="J3" s="1" t="n">
        <v>10</v>
      </c>
      <c r="K3" s="1" t="n">
        <v>1</v>
      </c>
      <c r="L3" s="1" t="n">
        <v>1</v>
      </c>
      <c r="M3" s="1" t="n">
        <v>999</v>
      </c>
      <c r="N3" s="1" t="str">
        <f aca="false">_xlfn.CONCAT(A3, "_Projectile")</f>
        <v>1002_Projectile</v>
      </c>
      <c r="O3" s="1" t="str">
        <f aca="false">_xlfn.CONCAT(A3, "_Collider")</f>
        <v>1002_Collider</v>
      </c>
      <c r="P3" s="1" t="str">
        <f aca="false">_xlfn.CONCAT(A3, "_Trajectory")</f>
        <v>1002_Trajectory</v>
      </c>
    </row>
    <row r="4" customFormat="false" ht="13.8" hidden="false" customHeight="false" outlineLevel="0" collapsed="false">
      <c r="A4" s="1" t="n">
        <v>2001</v>
      </c>
      <c r="C4" s="1" t="n">
        <v>0.5</v>
      </c>
      <c r="D4" s="1" t="n">
        <v>0.2</v>
      </c>
      <c r="E4" s="1" t="n">
        <v>0</v>
      </c>
      <c r="F4" s="1" t="n">
        <v>0</v>
      </c>
      <c r="G4" s="1" t="n">
        <v>1</v>
      </c>
      <c r="H4" s="1" t="n">
        <v>0</v>
      </c>
      <c r="I4" s="1" t="s">
        <v>18</v>
      </c>
      <c r="J4" s="1" t="n">
        <v>12</v>
      </c>
      <c r="K4" s="1" t="n">
        <v>1</v>
      </c>
      <c r="L4" s="1" t="n">
        <v>1</v>
      </c>
      <c r="M4" s="1" t="n">
        <v>999</v>
      </c>
      <c r="N4" s="1" t="str">
        <f aca="false">_xlfn.CONCAT(A4, "_Projectile")</f>
        <v>2001_Projectile</v>
      </c>
      <c r="O4" s="1" t="str">
        <f aca="false">_xlfn.CONCAT(A4, "_Collider")</f>
        <v>2001_Collider</v>
      </c>
      <c r="P4" s="1" t="str">
        <f aca="false">_xlfn.CONCAT(A4, "_Trajectory")</f>
        <v>2001_Trajectory</v>
      </c>
      <c r="Q4" s="1" t="str">
        <f aca="false">_xlfn.CONCAT(A4, "_Behavior")</f>
        <v>2001_Behavior</v>
      </c>
    </row>
    <row r="5" customFormat="false" ht="13.8" hidden="false" customHeight="false" outlineLevel="0" collapsed="false">
      <c r="A5" s="1" t="n">
        <v>2002</v>
      </c>
      <c r="C5" s="1" t="n">
        <v>0.5</v>
      </c>
      <c r="D5" s="1" t="n">
        <v>0.2</v>
      </c>
      <c r="E5" s="1" t="n">
        <v>0</v>
      </c>
      <c r="F5" s="1" t="n">
        <v>0</v>
      </c>
      <c r="G5" s="1" t="n">
        <v>1</v>
      </c>
      <c r="H5" s="1" t="n">
        <v>0</v>
      </c>
      <c r="I5" s="1" t="s">
        <v>18</v>
      </c>
      <c r="J5" s="1" t="n">
        <v>12</v>
      </c>
      <c r="K5" s="1" t="n">
        <v>1</v>
      </c>
      <c r="L5" s="1" t="n">
        <v>1</v>
      </c>
      <c r="M5" s="1" t="n">
        <v>999</v>
      </c>
      <c r="N5" s="1" t="str">
        <f aca="false">_xlfn.CONCAT(A5, "_Projectile")</f>
        <v>2002_Projectile</v>
      </c>
      <c r="O5" s="1" t="str">
        <f aca="false">_xlfn.CONCAT(A5, "_Collider")</f>
        <v>2002_Collider</v>
      </c>
      <c r="P5" s="1" t="str">
        <f aca="false">_xlfn.CONCAT(A5, "_Trajectory")</f>
        <v>2002_Trajectory</v>
      </c>
      <c r="Q5" s="1" t="str">
        <f aca="false">_xlfn.CONCAT(A5, "_Behavior")</f>
        <v>2002_Behavior</v>
      </c>
    </row>
    <row r="6" customFormat="false" ht="13.8" hidden="false" customHeight="false" outlineLevel="0" collapsed="false">
      <c r="A6" s="1" t="n">
        <v>2003</v>
      </c>
      <c r="C6" s="1" t="n">
        <v>0.5</v>
      </c>
      <c r="D6" s="1" t="n">
        <v>0.2</v>
      </c>
      <c r="E6" s="1" t="n">
        <v>0</v>
      </c>
      <c r="F6" s="1" t="n">
        <v>0</v>
      </c>
      <c r="G6" s="1" t="n">
        <v>1</v>
      </c>
      <c r="H6" s="1" t="n">
        <v>0</v>
      </c>
      <c r="I6" s="1" t="s">
        <v>18</v>
      </c>
      <c r="J6" s="1" t="n">
        <v>12</v>
      </c>
      <c r="K6" s="1" t="n">
        <v>1</v>
      </c>
      <c r="L6" s="1" t="n">
        <v>1</v>
      </c>
      <c r="M6" s="1" t="n">
        <v>999</v>
      </c>
      <c r="N6" s="1" t="str">
        <f aca="false">_xlfn.CONCAT(A6, "_Projectile")</f>
        <v>2003_Projectile</v>
      </c>
      <c r="O6" s="1" t="str">
        <f aca="false">_xlfn.CONCAT(A6, "_Collider")</f>
        <v>2003_Collider</v>
      </c>
      <c r="P6" s="1" t="str">
        <f aca="false">_xlfn.CONCAT(A6, "_Trajectory")</f>
        <v>2003_Trajectory</v>
      </c>
      <c r="Q6" s="1" t="str">
        <f aca="false">_xlfn.CONCAT(A6, "_Behavior")</f>
        <v>2003_Behavior</v>
      </c>
    </row>
    <row r="7" customFormat="false" ht="13.8" hidden="false" customHeight="false" outlineLevel="0" collapsed="false">
      <c r="A7" s="1" t="n">
        <v>2004</v>
      </c>
      <c r="C7" s="1" t="n">
        <v>1.5</v>
      </c>
      <c r="D7" s="1" t="n">
        <v>0.2</v>
      </c>
      <c r="E7" s="1" t="n">
        <v>0</v>
      </c>
      <c r="F7" s="1" t="n">
        <v>0</v>
      </c>
      <c r="G7" s="1" t="n">
        <v>1</v>
      </c>
      <c r="H7" s="1" t="n">
        <v>0</v>
      </c>
      <c r="I7" s="1" t="s">
        <v>18</v>
      </c>
      <c r="J7" s="1" t="n">
        <v>12</v>
      </c>
      <c r="K7" s="1" t="n">
        <v>1</v>
      </c>
      <c r="L7" s="1" t="n">
        <v>1</v>
      </c>
      <c r="M7" s="1" t="n">
        <v>999</v>
      </c>
      <c r="N7" s="1" t="str">
        <f aca="false">_xlfn.CONCAT(A7, "_Projectile")</f>
        <v>2004_Projectile</v>
      </c>
      <c r="O7" s="1" t="str">
        <f aca="false">_xlfn.CONCAT(A7, "_Collider")</f>
        <v>2004_Collider</v>
      </c>
      <c r="P7" s="1" t="str">
        <f aca="false">_xlfn.CONCAT(A7, "_Trajectory")</f>
        <v>2004_Trajectory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80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Admin</dc:creator>
  <dc:description/>
  <dc:language>en-US</dc:language>
  <cp:lastModifiedBy/>
  <dcterms:modified xsi:type="dcterms:W3CDTF">2026-04-23T15:43:52Z</dcterms:modified>
  <cp:revision>77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